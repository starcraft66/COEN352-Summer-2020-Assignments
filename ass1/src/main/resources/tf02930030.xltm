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mc:AlternateContent xmlns:mc="http://schemas.openxmlformats.org/markup-compatibility/2006">
    <mc:Choice Requires="x15">
      <x15ac:absPath xmlns:x15ac="http://schemas.microsoft.com/office/spreadsheetml/2010/11/ac" url="C:\Users\v-audrs\Desktop\Excel Templates\Accessibility Project\archive\"/>
    </mc:Choice>
  </mc:AlternateContent>
  <bookViews>
    <workbookView xWindow="0" yWindow="0" windowWidth="28800" windowHeight="11160"/>
  </bookViews>
  <sheets>
    <sheet name="Inventory List" sheetId="2" r:id="rId1"/>
    <sheet name="Inventory Pick List" sheetId="11" r:id="rId2"/>
    <sheet name="Bin Lookup" sheetId="9" r:id="rId3"/>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2">'Bin Lookup'!$4:$4</definedName>
    <definedName name="_xlnm.Print_Titles" localSheetId="0">'Inventory List'!$4:$4</definedName>
    <definedName name="_xlnm.Print_Titles" localSheetId="1">'Inventory Pick List'!$4:$4</definedName>
    <definedName name="SKULookup">InventoryList[SKU]</definedName>
  </definedNames>
  <calcPr calcId="171027"/>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<sst xmlns="http://schemas.openxmlformats.org/spreadsheetml/2006/main" count="109" uniqueCount="65">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</sst>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s>
  <fonts count="12"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s>
  <fills count="3">
    <fill>
      <patternFill patternType="none"/>
    </fill>
    <fill>
      <patternFill patternType="gray125"/>
    </fill>
    <fill>
      <patternFill patternType="solid">
        <fgColor theme="4" tint="-0.499984740745262"/>
        <bgColor indexed="64"/>
      </patternFill>
    </fill>
  </fills>
  <borders count="3">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s>
  <cellStyleXfs count="16">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5"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7" fontId="7" fillId="0" borderId="0">
      <alignment horizontal="right" vertical="center"/>
    </xf>
    <xf numFmtId="0" fontId="8" fillId="0" borderId="0" applyNumberFormat="0" applyFill="0" applyBorder="0">
      <alignment horizontal="center"/>
    </xf>
  </cellStyleXfs>
  <cellXfs count="20">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5" fontId="11" fillId="0" borderId="0" xfId="7">
      <alignment horizontal="center" vertical="center"/>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
      <alignment horizontal="left" vertical="center" indent="1"/>
    </xf>
    <xf numFmtId="0" fontId="1" fillId="0" borderId="0" xfId="0" applyFont="1" applyAlignment="1">
      <alignment vertical="center"/>
    </xf>
    <xf numFmtId="164"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7" fontId="7" fillId="0" borderId="0" xfId="14">
      <alignment horizontal="right" vertical="center"/>
    </xf>
    <xf numFmtId="0" fontId="0" fillId="0" borderId="0" xfId="12" applyFont="1">
      <alignment horizontal="left" vertical="center" wrapText="1" indent="1"/>
    </xf>
    <xf numFmtId="166" fontId="0" fillId="0" borderId="0" xfId="0" applyNumberFormat="1">
      <alignment vertical="center"/>
    </xf>
    <xf numFmtId="167" fontId="0" fillId="0" borderId="0" xfId="0" applyNumberFormat="1">
      <alignment vertical="center"/>
    </xf>
    <xf numFmtId="0" fontId="8" fillId="0" borderId="0" xfId="15">
      <alignment horizontal="center"/>
    </xf>
  </cellXfs>
  <cellStyles count="16">
    <cellStyle name="Flag Column" xfId="7"/>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cellStyle name="Table details left aligned" xfId="12"/>
    <cellStyle name="Table details right aligned" xfId="14"/>
    <cellStyle name="Title" xfId="1" builtinId="15" customBuiltin="1"/>
    <cellStyle name="Total" xfId="6" builtinId="25" customBuiltin="1"/>
    <cellStyle name="Total counts" xfId="11"/>
    <cellStyle name="zHide navigation link text" xfId="15"/>
  </cellStyles>
  <dxfs count="8">
    <dxf>
      <font>
        <b/>
        <i val="0"/>
        <color rgb="FFFF0000"/>
      </font>
    </dxf>
    <dxf>
      <alignment vertical="center" textRotation="0" wrapText="0" indent="0" justifyLastLine="0" shrinkToFit="0" readingOrder="0"/>
    </dxf>
    <dxf>
      <fill>
        <patternFill>
          <bgColor theme="5" tint="0.59996337778862885"/>
        </patternFill>
      </fill>
    </dxf>
    <dxf>
      <font>
        <b/>
        <i val="0"/>
      </font>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tableStyleElement type="wholeTable" dxfId="7"/>
      <tableStyleElement type="headerRow" dxfId="6"/>
      <tableStyleElement type="lastColumn"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Bin Lookup'!A1"/><Relationship Id="rId1" Type="http://schemas.openxmlformats.org/officeDocument/2006/relationships/hyperlink" Target="#'Inventory Pick List'!A1"/></Relationships>
</file>

<file path=xl/drawings/_rels/drawing2.xml.rels><?xml version="1.0" encoding="UTF-8" standalone="yes"?>
<Relationships xmlns="http://schemas.openxmlformats.org/package/2006/relationships"><Relationship Id="rId1" Type="http://schemas.openxmlformats.org/officeDocument/2006/relationships/hyperlink" Target="#'Warehouse Inventory List'!A1"/></Relationships>
</file>

<file path=xl/drawings/_rels/drawing3.xml.rels><?xml version="1.0" encoding="UTF-8" standalone="yes"?>
<Relationships xmlns="http://schemas.openxmlformats.org/package/2006/relationships"><Relationship Id="rId1" Type="http://schemas.openxmlformats.org/officeDocument/2006/relationships/hyperlink" Target="#'Warehouse Inventory List'!A1"/></Relationships>
</file>

<file path=xl/drawings/drawing1.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1740789</xdr:colOff>
      <xdr:row>1</xdr:row>
      <xdr:rowOff>285749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1788414</xdr:colOff>
      <xdr:row>1</xdr:row>
      <xdr:rowOff>285749</xdr:rowOff>
    </xdr:to>
    <xdr:sp macro="" textlink="">
      <xdr:nvSpPr>
        <xdr:cNvPr id="12" name="Inventory List" descr="Navigation shape to view Bin Lookup">
          <a:hlinkClick xmlns:r="http://schemas.openxmlformats.org/officeDocument/2006/relationships" r:id="rId2" tooltip="Select to add or modify Bin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BIN</a:t>
          </a:r>
          <a:r>
            <a:rPr lang="en-US" sz="1100" baseline="0">
              <a:solidFill>
                <a:schemeClr val="lt1"/>
              </a:solidFill>
              <a:latin typeface="+mn-lt"/>
              <a:ea typeface="+mn-ea"/>
              <a:cs typeface="+mn-cs"/>
            </a:rPr>
            <a:t> LOOKUP</a:t>
          </a:r>
          <a:endParaRPr lang="en-US" sz="1100">
            <a:solidFill>
              <a:schemeClr val="lt1"/>
            </a:solidFill>
            <a:latin typeface="+mn-lt"/>
            <a:ea typeface="+mn-ea"/>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tables/table1.xml><?xml version="1.0" encoding="utf-8"?>
<table xmlns="http://schemas.openxmlformats.org/spreadsheetml/2006/main" id="1" name="InventoryList" displayName="InventoryList" ref="B4:K15" totalsRowDxfId="1" headerRowCellStyle="Heading 1">
  <autoFilter ref="B4:K15"/>
  <sortState ref="B3:F12">
    <sortCondition ref="C2:C12"/>
  </sortState>
  <tableColumns count="10">
    <tableColumn id="1" name="SKU" totalsRowLabel="Totals" dataCellStyle="Table details left aligned"/>
    <tableColumn id="2" name="DESCRIPTION" dataCellStyle="Table details left aligned"/>
    <tableColumn id="3" name="BIN #" dataCellStyle="Table details left aligned"/>
    <tableColumn id="4" name="LOCATION" dataCellStyle="Table details left aligned">
      <calculatedColumnFormula>IFERROR(VLOOKUP(InventoryList[[#This Row],[BIN '#]],BinLookup[],3,FALSE),"")</calculatedColumnFormula>
    </tableColumn>
    <tableColumn id="5" name="UNIT" dataCellStyle="Table details left aligned"/>
    <tableColumn id="6" name="QTY" dataCellStyle="Table details center aligned"/>
    <tableColumn id="8" name="REORDER QTY" dataCellStyle="Table details center aligned"/>
    <tableColumn id="7" name="COST" dataCellStyle="Table details right aligned"/>
    <tableColumn id="10" name="INVENTORY VALUE" dataCellStyle="Table details right aligned">
      <calculatedColumnFormula>InventoryList[[#This Row],[QTY]]*InventoryList[[#This Row],[COST]]</calculatedColumnFormula>
    </tableColumn>
    <tableColumn id="9" name="REORDER" dataCellStyle="Flag Column">
      <calculatedColumnFormula>IFERROR(IF(InventoryList[[#This Row],[QTY]]&lt;=InventoryList[[#This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2.xml><?xml version="1.0" encoding="utf-8"?>
<table xmlns="http://schemas.openxmlformats.org/spreadsheetml/2006/main" id="4" name="InventoryPickList" displayName="InventoryPickList" ref="B4:I9" totalsRowShown="0" headerRowCellStyle="Heading 1">
  <autoFilter ref="B4:I9"/>
  <sortState ref="B3:I7">
    <sortCondition ref="I2:I7"/>
  </sortState>
  <tableColumns count="8">
    <tableColumn id="9" name="ORDER #" dataCellStyle="Table details left aligned"/>
    <tableColumn id="1" name="SKU" dataCellStyle="Table details left aligned"/>
    <tableColumn id="6" name="PICK QTY" dataCellStyle="Table details center aligned"/>
    <tableColumn id="7" name="QTY AVAILABLE" dataCellStyle="Table details center aligned">
      <calculatedColumnFormula>IFERROR(VLOOKUP(InventoryPickList[SKU],InventoryList[],6,FALSE),"")</calculatedColumnFormula>
    </tableColumn>
    <tableColumn id="2" name="ITEM DESCRIPTION" dataCellStyle="Table details left aligned">
      <calculatedColumnFormula>IFERROR(VLOOKUP(InventoryPickList[SKU],InventoryList[],2,FALSE),"")</calculatedColumnFormula>
    </tableColumn>
    <tableColumn id="8" name="UNIT" dataCellStyle="Table details left aligned">
      <calculatedColumnFormula>IFERROR(VLOOKUP(InventoryPickList[SKU],InventoryList[],5,FALSE),"")</calculatedColumnFormula>
    </tableColumn>
    <tableColumn id="3" name="BIN #" dataCellStyle="Table details left aligned">
      <calculatedColumnFormula>IFERROR(VLOOKUP(InventoryPickList[SKU],InventoryList[],3,FALSE),"")</calculatedColumnFormula>
    </tableColumn>
    <tableColumn id="4" name="LOCATION" dataCellStyle="Table details left aligned">
      <calculatedColumnFormula>IFERROR(VLOOKUP(InventoryPickList[SKU],InventoryList[],4,FALSE),"")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ables/table3.xml><?xml version="1.0" encoding="utf-8"?>
<table xmlns="http://schemas.openxmlformats.org/spreadsheetml/2006/main" id="3" name="BinLookup" displayName="BinLookup" ref="B4:G11">
  <autoFilter ref="B4:G11"/>
  <tableColumns count="6">
    <tableColumn id="1" name="BIN #" totalsRowLabel="Total" dataCellStyle="Table details left aligned"/>
    <tableColumn id="2" name="DESCRIPTION" dataCellStyle="Table details left aligned"/>
    <tableColumn id="6" name="LOCATION" dataCellStyle="Table details left aligned"/>
    <tableColumn id="3" name="WIDTH" dataCellStyle="Table details center aligned"/>
    <tableColumn id="4" name="HEIGHT" dataCellStyle="Table details center aligned"/>
    <tableColumn id="5" name="LENGTH" totalsRowFunction="sum" dataCellStyle="Table details center aligned"/>
  </tableColumns>
  <tableStyleInfo name="Warehouse Inventory"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ventoryList">
    <tabColor theme="4"/>
    <pageSetUpPr autoPageBreaks="0" fitToPage="1"/>
  </sheetPr>
  <dimension ref="B1:K15"/>
  <sheetViews>
    <sheetView showGridLines="0" tabSelected="1" zoomScaleNormal="100" workbookViewId="0"/>
  </sheetViews>
  <sheetFormatPr defaultRowHeight="30" customHeight="1" x14ac:dyDescent="0.3"/>
  <cols>
    <col min="1" max="1" width="1.88671875" customWidth="1"/>
    <col min="2" max="2" width="20.77734375" customWidth="1"/>
    <col min="3" max="3" width="27.44140625" customWidth="1"/>
    <col min="4" max="4" width="14.109375" customWidth="1"/>
    <col min="5" max="5" width="21.109375" customWidth="1"/>
    <col min="6" max="6" width="21.77734375" customWidth="1"/>
    <col min="7" max="7" width="9.44140625" customWidth="1"/>
    <col min="8" max="8" width="15.6640625" customWidth="1"/>
    <col min="9" max="9" width="11.88671875" customWidth="1"/>
    <col min="10" max="10" width="18.6640625" customWidth="1"/>
    <col min="11" max="11" width="13.33203125" customWidth="1"/>
    <col min="12" max="13" width="16.109375" customWidth="1"/>
    <col min="14" max="14" width="11.44140625" customWidth="1"/>
  </cols>
  <sheetData>
    <row r="1" spans="2:11" ht="54" customHeight="1" thickBot="1" x14ac:dyDescent="0.5">
      <c r="B1" s="5" t="s">
        <v>64</v>
      </c>
      <c r="C1" s="5"/>
      <c r="D1" s="5"/>
      <c r="E1" s="1"/>
      <c r="F1" s="1"/>
      <c r="G1" s="1"/>
      <c r="H1" s="1"/>
      <c r="I1" s="1"/>
      <c r="J1" s="1"/>
      <c r="K1" s="1"/>
    </row>
    <row r="2" spans="2:11" ht="24.95" customHeight="1" x14ac:dyDescent="0.3">
      <c r="B2" s="2" t="s">
        <v>41</v>
      </c>
      <c r="C2" s="4" t="s">
        <v>43</v>
      </c>
      <c r="D2" s="2" t="s">
        <v>42</v>
      </c>
      <c r="E2" s="19" t="s">
        <v>55</v>
      </c>
      <c r="F2" s="19" t="s">
        <v>59</v>
      </c>
    </row>
    <row r="3" spans="2:11" ht="30" customHeight="1" x14ac:dyDescent="0.3">
      <c r="B3" s="11">
        <f>SUM(InventoryList[INVENTORY VALUE])</f>
        <v>4649</v>
      </c>
      <c r="C3" s="12">
        <f>COUNTA(InventoryList[DESCRIPTION])</f>
        <v>11</v>
      </c>
      <c r="D3" s="12">
        <f>SUMPRODUCT((1/COUNTIF(InventoryList[BIN '#],InventoryList[BIN '#]&amp;"")))</f>
        <v>6</v>
      </c>
    </row>
    <row r="4" spans="2:11" ht="17.100000000000001" customHeight="1" x14ac:dyDescent="0.3">
      <c r="B4" s="9" t="s">
        <v>0</v>
      </c>
      <c r="C4" s="9" t="s">
        <v>44</v>
      </c>
      <c r="D4" s="9" t="s">
        <v>45</v>
      </c>
      <c r="E4" s="9" t="s">
        <v>46</v>
      </c>
      <c r="F4" s="9" t="s">
        <v>47</v>
      </c>
      <c r="G4" s="9" t="s">
        <v>48</v>
      </c>
      <c r="H4" s="9" t="s">
        <v>49</v>
      </c>
      <c r="I4" s="9" t="s">
        <v>50</v>
      </c>
      <c r="J4" s="9" t="s">
        <v>51</v>
      </c>
      <c r="K4" s="9" t="s">
        <v>52</v>
      </c>
    </row>
    <row r="5" spans="2:11" ht="30" customHeight="1" x14ac:dyDescent="0.3">
      <c r="B5" s="13" t="s">
        <v>31</v>
      </c>
      <c r="C5" s="13" t="s">
        <v>8</v>
      </c>
      <c r="D5" s="13" t="s">
        <v>1</v>
      </c>
      <c r="E5" s="13" t="str">
        <f>IFERROR(VLOOKUP(InventoryList[[#This Row],[BIN '#]],BinLookup[],3,FALSE),"")</f>
        <v>Row 2, slot 1</v>
      </c>
      <c r="F5" s="13" t="s">
        <v>27</v>
      </c>
      <c r="G5" s="14">
        <v>20</v>
      </c>
      <c r="H5" s="14">
        <v>10</v>
      </c>
      <c r="I5" s="15">
        <v>30</v>
      </c>
      <c r="J5" s="15">
        <f>InventoryList[[#This Row],[QTY]]*InventoryList[[#This Row],[COST]]</f>
        <v>600</v>
      </c>
      <c r="K5" s="6">
        <f>IFERROR(IF(InventoryList[[#This Row],[QTY]]&lt;=InventoryList[[#This Row],[REORDER QTY]],1,0),0)</f>
        <v>0</v>
      </c>
    </row>
    <row r="6" spans="2:11" ht="30" customHeight="1" x14ac:dyDescent="0.3">
      <c r="B6" s="13" t="s">
        <v>32</v>
      </c>
      <c r="C6" s="13" t="s">
        <v>9</v>
      </c>
      <c r="D6" s="13" t="s">
        <v>1</v>
      </c>
      <c r="E6" s="13" t="str">
        <f>IFERROR(VLOOKUP(InventoryList[[#This Row],[BIN '#]],BinLookup[],3,FALSE),"")</f>
        <v>Row 2, slot 1</v>
      </c>
      <c r="F6" s="13" t="s">
        <v>27</v>
      </c>
      <c r="G6" s="14">
        <v>30</v>
      </c>
      <c r="H6" s="14">
        <v>15</v>
      </c>
      <c r="I6" s="15">
        <v>40</v>
      </c>
      <c r="J6" s="15">
        <f>InventoryList[[#This Row],[QTY]]*InventoryList[[#This Row],[COST]]</f>
        <v>1200</v>
      </c>
      <c r="K6" s="6">
        <f>IFERROR(IF(InventoryList[[#This Row],[QTY]]&lt;=InventoryList[[#This Row],[REORDER QTY]],1,0),0)</f>
        <v>0</v>
      </c>
    </row>
    <row r="7" spans="2:11" ht="30" customHeight="1" x14ac:dyDescent="0.3">
      <c r="B7" s="13" t="s">
        <v>33</v>
      </c>
      <c r="C7" s="13" t="s">
        <v>4</v>
      </c>
      <c r="D7" s="13" t="s">
        <v>2</v>
      </c>
      <c r="E7" s="13" t="str">
        <f>IFERROR(VLOOKUP(InventoryList[[#This Row],[BIN '#]],BinLookup[],3,FALSE),"")</f>
        <v>Row 1, slot 1</v>
      </c>
      <c r="F7" s="13" t="s">
        <v>27</v>
      </c>
      <c r="G7" s="14">
        <v>10</v>
      </c>
      <c r="H7" s="14">
        <v>5</v>
      </c>
      <c r="I7" s="15">
        <v>5</v>
      </c>
      <c r="J7" s="15">
        <f>InventoryList[[#This Row],[QTY]]*InventoryList[[#This Row],[COST]]</f>
        <v>50</v>
      </c>
      <c r="K7" s="6">
        <f>IFERROR(IF(InventoryList[[#This Row],[QTY]]&lt;=InventoryList[[#This Row],[REORDER QTY]],1,0),0)</f>
        <v>0</v>
      </c>
    </row>
    <row r="8" spans="2:11" ht="30" customHeight="1" x14ac:dyDescent="0.3">
      <c r="B8" s="13" t="s">
        <v>34</v>
      </c>
      <c r="C8" s="13" t="s">
        <v>10</v>
      </c>
      <c r="D8" s="13" t="s">
        <v>3</v>
      </c>
      <c r="E8" s="13" t="str">
        <f>IFERROR(VLOOKUP(InventoryList[[#This Row],[BIN '#]],BinLookup[],3,FALSE),"")</f>
        <v>Row 3, slot 2</v>
      </c>
      <c r="F8" s="13" t="s">
        <v>29</v>
      </c>
      <c r="G8" s="14">
        <v>40</v>
      </c>
      <c r="H8" s="14">
        <v>10</v>
      </c>
      <c r="I8" s="15">
        <v>15</v>
      </c>
      <c r="J8" s="15">
        <f>InventoryList[[#This Row],[QTY]]*InventoryList[[#This Row],[COST]]</f>
        <v>600</v>
      </c>
      <c r="K8" s="6">
        <f>IFERROR(IF(InventoryList[[#This Row],[QTY]]&lt;=InventoryList[[#This Row],[REORDER QTY]],1,0),0)</f>
        <v>0</v>
      </c>
    </row>
    <row r="9" spans="2:11" ht="30" customHeight="1" x14ac:dyDescent="0.3">
      <c r="B9" s="13" t="s">
        <v>35</v>
      </c>
      <c r="C9" s="13" t="s">
        <v>11</v>
      </c>
      <c r="D9" s="13" t="s">
        <v>5</v>
      </c>
      <c r="E9" s="13" t="str">
        <f>IFERROR(VLOOKUP(InventoryList[[#This Row],[BIN '#]],BinLookup[],3,FALSE),"")</f>
        <v>Row 3, slot 1</v>
      </c>
      <c r="F9" s="13" t="s">
        <v>27</v>
      </c>
      <c r="G9" s="14">
        <v>12</v>
      </c>
      <c r="H9" s="14">
        <v>10</v>
      </c>
      <c r="I9" s="15">
        <v>26</v>
      </c>
      <c r="J9" s="15">
        <f>InventoryList[[#This Row],[QTY]]*InventoryList[[#This Row],[COST]]</f>
        <v>312</v>
      </c>
      <c r="K9" s="6">
        <f>IFERROR(IF(InventoryList[[#This Row],[QTY]]&lt;=InventoryList[[#This Row],[REORDER QTY]],1,0),0)</f>
        <v>0</v>
      </c>
    </row>
    <row r="10" spans="2:11" ht="30" customHeight="1" x14ac:dyDescent="0.3">
      <c r="B10" s="13" t="s">
        <v>36</v>
      </c>
      <c r="C10" s="13" t="s">
        <v>12</v>
      </c>
      <c r="D10" s="13" t="s">
        <v>1</v>
      </c>
      <c r="E10" s="13" t="str">
        <f>IFERROR(VLOOKUP(InventoryList[[#This Row],[BIN '#]],BinLookup[],3,FALSE),"")</f>
        <v>Row 2, slot 1</v>
      </c>
      <c r="F10" s="13" t="s">
        <v>27</v>
      </c>
      <c r="G10" s="14">
        <v>7</v>
      </c>
      <c r="H10" s="14">
        <v>10</v>
      </c>
      <c r="I10" s="15">
        <v>50</v>
      </c>
      <c r="J10" s="15">
        <f>InventoryList[[#This Row],[QTY]]*InventoryList[[#This Row],[COST]]</f>
        <v>350</v>
      </c>
      <c r="K10" s="6">
        <f>IFERROR(IF(InventoryList[[#This Row],[QTY]]&lt;=InventoryList[[#This Row],[REORDER QTY]],1,0),0)</f>
        <v>1</v>
      </c>
    </row>
    <row r="11" spans="2:11" ht="30" customHeight="1" x14ac:dyDescent="0.3">
      <c r="B11" s="13" t="s">
        <v>37</v>
      </c>
      <c r="C11" s="13" t="s">
        <v>13</v>
      </c>
      <c r="D11" s="13" t="s">
        <v>6</v>
      </c>
      <c r="E11" s="13" t="str">
        <f>IFERROR(VLOOKUP(InventoryList[[#This Row],[BIN '#]],BinLookup[],3,FALSE),"")</f>
        <v>Row 1, slot 2</v>
      </c>
      <c r="F11" s="13" t="s">
        <v>27</v>
      </c>
      <c r="G11" s="14">
        <v>10</v>
      </c>
      <c r="H11" s="14">
        <v>5</v>
      </c>
      <c r="I11" s="15">
        <v>10</v>
      </c>
      <c r="J11" s="15">
        <f>InventoryList[[#This Row],[QTY]]*InventoryList[[#This Row],[COST]]</f>
        <v>100</v>
      </c>
      <c r="K11" s="6">
        <f>IFERROR(IF(InventoryList[[#This Row],[QTY]]&lt;=InventoryList[[#This Row],[REORDER QTY]],1,0),0)</f>
        <v>0</v>
      </c>
    </row>
    <row r="12" spans="2:11" ht="30" customHeight="1" x14ac:dyDescent="0.3">
      <c r="B12" s="13" t="s">
        <v>38</v>
      </c>
      <c r="C12" s="13" t="s">
        <v>14</v>
      </c>
      <c r="D12" s="13" t="s">
        <v>2</v>
      </c>
      <c r="E12" s="13" t="str">
        <f>IFERROR(VLOOKUP(InventoryList[[#This Row],[BIN '#]],BinLookup[],3,FALSE),"")</f>
        <v>Row 1, slot 1</v>
      </c>
      <c r="F12" s="13" t="s">
        <v>27</v>
      </c>
      <c r="G12" s="14">
        <v>19</v>
      </c>
      <c r="H12" s="14">
        <v>10</v>
      </c>
      <c r="I12" s="15">
        <v>3</v>
      </c>
      <c r="J12" s="15">
        <f>InventoryList[[#This Row],[QTY]]*InventoryList[[#This Row],[COST]]</f>
        <v>57</v>
      </c>
      <c r="K12" s="6">
        <f>IFERROR(IF(InventoryList[[#This Row],[QTY]]&lt;=InventoryList[[#This Row],[REORDER QTY]],1,0),0)</f>
        <v>0</v>
      </c>
    </row>
    <row r="13" spans="2:11" ht="30" customHeight="1" x14ac:dyDescent="0.3">
      <c r="B13" s="13" t="s">
        <v>39</v>
      </c>
      <c r="C13" s="13" t="s">
        <v>15</v>
      </c>
      <c r="D13" s="13" t="s">
        <v>7</v>
      </c>
      <c r="E13" s="13" t="str">
        <f>IFERROR(VLOOKUP(InventoryList[[#This Row],[BIN '#]],BinLookup[],3,FALSE),"")</f>
        <v>Row 2, slot 2</v>
      </c>
      <c r="F13" s="13" t="s">
        <v>30</v>
      </c>
      <c r="G13" s="14">
        <v>20</v>
      </c>
      <c r="H13" s="14">
        <v>30</v>
      </c>
      <c r="I13" s="15">
        <v>14</v>
      </c>
      <c r="J13" s="15">
        <f>InventoryList[[#This Row],[QTY]]*InventoryList[[#This Row],[COST]]</f>
        <v>280</v>
      </c>
      <c r="K13" s="6">
        <f>IFERROR(IF(InventoryList[[#This Row],[QTY]]&lt;=InventoryList[[#This Row],[REORDER QTY]],1,0),0)</f>
        <v>1</v>
      </c>
    </row>
    <row r="14" spans="2:11" ht="30" customHeight="1" x14ac:dyDescent="0.3">
      <c r="B14" s="13" t="s">
        <v>28</v>
      </c>
      <c r="C14" s="13" t="s">
        <v>16</v>
      </c>
      <c r="D14" s="13" t="s">
        <v>6</v>
      </c>
      <c r="E14" s="13" t="str">
        <f>IFERROR(VLOOKUP(InventoryList[[#This Row],[BIN '#]],BinLookup[],3,FALSE),"")</f>
        <v>Row 1, slot 2</v>
      </c>
      <c r="F14" s="13" t="s">
        <v>27</v>
      </c>
      <c r="G14" s="14">
        <v>15</v>
      </c>
      <c r="H14" s="14">
        <v>8</v>
      </c>
      <c r="I14" s="15">
        <v>60</v>
      </c>
      <c r="J14" s="15">
        <f>InventoryList[[#This Row],[QTY]]*InventoryList[[#This Row],[COST]]</f>
        <v>900</v>
      </c>
      <c r="K14" s="6">
        <f>IFERROR(IF(InventoryList[[#This Row],[QTY]]&lt;=InventoryList[[#This Row],[REORDER QTY]],1,0),0)</f>
        <v>0</v>
      </c>
    </row>
    <row r="15" spans="2:11" ht="30" customHeight="1" x14ac:dyDescent="0.3">
      <c r="B15" s="13" t="s">
        <v>54</v>
      </c>
      <c r="C15" s="13" t="s">
        <v>53</v>
      </c>
      <c r="D15" s="13" t="s">
        <v>6</v>
      </c>
      <c r="E15" s="13" t="str">
        <f>IFERROR(VLOOKUP(InventoryList[[#This Row],[BIN '#]],BinLookup[],3,FALSE),"")</f>
        <v>Row 1, slot 2</v>
      </c>
      <c r="F15" s="13" t="s">
        <v>27</v>
      </c>
      <c r="G15" s="14">
        <v>25</v>
      </c>
      <c r="H15" s="14">
        <v>15</v>
      </c>
      <c r="I15" s="15">
        <v>8</v>
      </c>
      <c r="J15" s="15">
        <f>InventoryList[[#This Row],[QTY]]*InventoryList[[#This Row],[COST]]</f>
        <v>200</v>
      </c>
      <c r="K15" s="6">
        <f>IFERROR(IF(InventoryList[[#This Row],[QTY]]&lt;=InventoryList[[#This Row],[REORDER QTY]],1,0),0)</f>
        <v>0</v>
      </c>
    </row>
  </sheetData>
  <conditionalFormatting sqref="B5:K15">
    <cfRule type="expression" dxfId="3" priority="6">
      <formula>"If(blnBinNo=""True"")"</formula>
    </cfRule>
    <cfRule type="expression" dxfId="2" priority="1">
      <formula>$K5=1</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Bin Lookup worksheets" sqref="A1"/>
    <dataValidation allowBlank="1" showInputMessage="1" showErrorMessage="1" prompt="Automatically calculated total inventory value" sqref="B3"/>
    <dataValidation allowBlank="1" showInputMessage="1" showErrorMessage="1" prompt="Automatically calculated bin count" sqref="D3"/>
    <dataValidation allowBlank="1" showInputMessage="1" showErrorMessage="1" prompt="Automatically calculated number of inventory items based on their description" sqref="C3"/>
    <dataValidation allowBlank="1" showInputMessage="1" showErrorMessage="1" prompt="Enter SKU in this column" sqref="B4"/>
    <dataValidation allowBlank="1" showInputMessage="1" showErrorMessage="1" prompt="Enter a description of the item in this column" sqref="C4"/>
    <dataValidation allowBlank="1" showInputMessage="1" showErrorMessage="1" prompt="Select the bin number from the dropdown list. Press ALT+DOWN ARROW to open the dropdown list then press ENTER to choose one of the items" sqref="D4"/>
    <dataValidation allowBlank="1" showInputMessage="1" showErrorMessage="1" prompt="Location is automatically updated in this column using the Bin # and information in the Bin Lookup worksheet " sqref="E4"/>
    <dataValidation allowBlank="1" showInputMessage="1" showErrorMessage="1" prompt="Enter unit in this column" sqref="F4"/>
    <dataValidation allowBlank="1" showInputMessage="1" showErrorMessage="1" prompt="Enter the quantity of each item in this column" sqref="G4"/>
    <dataValidation allowBlank="1" showInputMessage="1" showErrorMessage="1" prompt="Enter reorder quantity in this column" sqref="H4"/>
    <dataValidation allowBlank="1" showInputMessage="1" showErrorMessage="1" prompt="Enter the cost of each item in this column" sqref="I4"/>
    <dataValidation allowBlank="1" showInputMessage="1" showErrorMessage="1" prompt="The inventory value is automatically calculated in this column using the QTY and COST values from the table" sqref="J4"/>
    <dataValidation allowBlank="1" showInputMessage="1" showErrorMessage="1" prompt="A flag icon in this column indicates items in the inventory list that are ready to be reordered" sqref="K4"/>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formula1>BinNumber</formula1>
    </dataValidation>
    <dataValidation allowBlank="1" showInputMessage="1" showErrorMessage="1" prompt="Navigational link to Inventory Pick List worksheet" sqref="E2"/>
    <dataValidation allowBlank="1" showInputMessage="1" showErrorMessage="1" prompt="Navigation link to modify or add items to the Bin Lookup worksheet" sqref="F2"/>
    <dataValidation allowBlank="1" showInputMessage="1" showErrorMessage="1" prompt="Total inventory value is automatically updated below" sqref="B2"/>
    <dataValidation allowBlank="1" showInputMessage="1" showErrorMessage="1" prompt="Total inventory items is automatically updated below" sqref="C2"/>
    <dataValidation allowBlank="1" showInputMessage="1" showErrorMessage="1" prompt="Total bin count is automatically updated below" sqref="D2"/>
  </dataValidations>
  <hyperlinks>
    <hyperlink ref="E2" location="'Inventory Pick List'!A1" tooltip="Select to view Inventory Pick List worksheet" display="INVENTORY PICK LIST"/>
    <hyperlink ref="F2" location="'Bin Lookup'!A1" tooltip="Select to add or modify Bin Lookup information" display="BIN LOOKUP"/>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ickList">
    <tabColor theme="4" tint="0.39997558519241921"/>
    <pageSetUpPr autoPageBreaks="0" fitToPage="1"/>
  </sheetPr>
  <dimension ref="B1:I9"/>
  <sheetViews>
    <sheetView showGridLines="0" zoomScaleNormal="100" workbookViewId="0"/>
  </sheetViews>
  <sheetFormatPr defaultRowHeight="30" customHeight="1" x14ac:dyDescent="0.3"/>
  <cols>
    <col min="1" max="1" width="1.88671875" customWidth="1"/>
    <col min="2" max="2" width="20.77734375" customWidth="1"/>
    <col min="3" max="3" width="21.77734375" customWidth="1"/>
    <col min="4" max="4" width="15.6640625" customWidth="1"/>
    <col min="5" max="5" width="17.88671875" customWidth="1"/>
    <col min="6" max="6" width="25.44140625" customWidth="1"/>
    <col min="7" max="7" width="14.44140625" customWidth="1"/>
    <col min="8" max="8" width="13.44140625" customWidth="1"/>
    <col min="9" max="9" width="22.6640625" customWidth="1"/>
  </cols>
  <sheetData>
    <row r="1" spans="2:9" ht="54" customHeight="1" thickBot="1" x14ac:dyDescent="0.5">
      <c r="B1" s="5" t="s">
        <v>55</v>
      </c>
      <c r="C1" s="3"/>
      <c r="D1" s="1"/>
      <c r="E1" s="1"/>
      <c r="F1" s="1"/>
      <c r="G1" s="1"/>
      <c r="H1" s="1"/>
      <c r="I1" s="1"/>
    </row>
    <row r="2" spans="2:9" ht="24.95" customHeight="1" x14ac:dyDescent="0.3">
      <c r="B2" s="19"/>
      <c r="C2" s="19" t="s">
        <v>64</v>
      </c>
    </row>
    <row r="3" spans="2:9" ht="30" customHeight="1" x14ac:dyDescent="0.3">
      <c r="B3" s="17"/>
      <c r="C3" s="18"/>
    </row>
    <row r="4" spans="2:9" ht="17.100000000000001" customHeight="1" x14ac:dyDescent="0.3">
      <c r="B4" s="9" t="s">
        <v>60</v>
      </c>
      <c r="C4" s="9" t="s">
        <v>0</v>
      </c>
      <c r="D4" s="9" t="s">
        <v>61</v>
      </c>
      <c r="E4" s="9" t="s">
        <v>62</v>
      </c>
      <c r="F4" s="9" t="s">
        <v>63</v>
      </c>
      <c r="G4" s="9" t="s">
        <v>47</v>
      </c>
      <c r="H4" s="9" t="s">
        <v>45</v>
      </c>
      <c r="I4" s="9" t="s">
        <v>46</v>
      </c>
    </row>
    <row r="5" spans="2:9" ht="30" customHeight="1" x14ac:dyDescent="0.3">
      <c r="B5" s="13" t="s">
        <v>40</v>
      </c>
      <c r="C5" s="13" t="s">
        <v>31</v>
      </c>
      <c r="D5" s="14">
        <v>3</v>
      </c>
      <c r="E5" s="14">
        <f>IFERROR(VLOOKUP(InventoryPickList[SKU],InventoryList[],6,FALSE),"")</f>
        <v>20</v>
      </c>
      <c r="F5" s="13" t="str">
        <f>IFERROR(VLOOKUP(InventoryPickList[SKU],InventoryList[],2,FALSE),"")</f>
        <v>Item 1</v>
      </c>
      <c r="G5" s="13" t="str">
        <f>IFERROR(VLOOKUP(InventoryPickList[SKU],InventoryList[],5,FALSE),"")</f>
        <v>Each</v>
      </c>
      <c r="H5" s="13" t="str">
        <f>IFERROR(VLOOKUP(InventoryPickList[SKU],InventoryList[],3,FALSE),"")</f>
        <v>T345</v>
      </c>
      <c r="I5" s="13" t="str">
        <f>IFERROR(VLOOKUP(InventoryPickList[SKU],InventoryList[],4,FALSE),"")</f>
        <v>Row 2, slot 1</v>
      </c>
    </row>
    <row r="6" spans="2:9" ht="30" customHeight="1" x14ac:dyDescent="0.3">
      <c r="B6" s="13" t="s">
        <v>40</v>
      </c>
      <c r="C6" s="13" t="s">
        <v>34</v>
      </c>
      <c r="D6" s="14">
        <v>1</v>
      </c>
      <c r="E6" s="14">
        <f>IFERROR(VLOOKUP(InventoryPickList[SKU],InventoryList[],6,FALSE),"")</f>
        <v>40</v>
      </c>
      <c r="F6" s="13" t="str">
        <f>IFERROR(VLOOKUP(InventoryPickList[SKU],InventoryList[],2,FALSE),"")</f>
        <v>Item 4</v>
      </c>
      <c r="G6" s="13" t="str">
        <f>IFERROR(VLOOKUP(InventoryPickList[SKU],InventoryList[],5,FALSE),"")</f>
        <v>Box (10 ct)</v>
      </c>
      <c r="H6" s="13" t="str">
        <f>IFERROR(VLOOKUP(InventoryPickList[SKU],InventoryList[],3,FALSE),"")</f>
        <v>T9876</v>
      </c>
      <c r="I6" s="13" t="str">
        <f>IFERROR(VLOOKUP(InventoryPickList[SKU],InventoryList[],4,FALSE),"")</f>
        <v>Row 3, slot 2</v>
      </c>
    </row>
    <row r="7" spans="2:9" ht="30" customHeight="1" x14ac:dyDescent="0.3">
      <c r="B7" s="13" t="s">
        <v>40</v>
      </c>
      <c r="C7" s="13" t="s">
        <v>37</v>
      </c>
      <c r="D7" s="14">
        <v>2</v>
      </c>
      <c r="E7" s="14">
        <f>IFERROR(VLOOKUP(InventoryPickList[SKU],InventoryList[],6,FALSE),"")</f>
        <v>10</v>
      </c>
      <c r="F7" s="13" t="str">
        <f>IFERROR(VLOOKUP(InventoryPickList[SKU],InventoryList[],2,FALSE),"")</f>
        <v>Item 7</v>
      </c>
      <c r="G7" s="13" t="str">
        <f>IFERROR(VLOOKUP(InventoryPickList[SKU],InventoryList[],5,FALSE),"")</f>
        <v>Each</v>
      </c>
      <c r="H7" s="13" t="str">
        <f>IFERROR(VLOOKUP(InventoryPickList[SKU],InventoryList[],3,FALSE),"")</f>
        <v>T349</v>
      </c>
      <c r="I7" s="13" t="str">
        <f>IFERROR(VLOOKUP(InventoryPickList[SKU],InventoryList[],4,FALSE),"")</f>
        <v>Row 1, slot 2</v>
      </c>
    </row>
    <row r="8" spans="2:9" ht="30" customHeight="1" x14ac:dyDescent="0.3">
      <c r="B8" s="13" t="s">
        <v>40</v>
      </c>
      <c r="C8" s="13" t="s">
        <v>28</v>
      </c>
      <c r="D8" s="14">
        <v>6</v>
      </c>
      <c r="E8" s="14">
        <f>IFERROR(VLOOKUP(InventoryPickList[SKU],InventoryList[],6,FALSE),"")</f>
        <v>15</v>
      </c>
      <c r="F8" s="13" t="str">
        <f>IFERROR(VLOOKUP(InventoryPickList[SKU],InventoryList[],2,FALSE),"")</f>
        <v>Item 10</v>
      </c>
      <c r="G8" s="13" t="str">
        <f>IFERROR(VLOOKUP(InventoryPickList[SKU],InventoryList[],5,FALSE),"")</f>
        <v>Each</v>
      </c>
      <c r="H8" s="13" t="str">
        <f>IFERROR(VLOOKUP(InventoryPickList[SKU],InventoryList[],3,FALSE),"")</f>
        <v>T349</v>
      </c>
      <c r="I8" s="13" t="str">
        <f>IFERROR(VLOOKUP(InventoryPickList[SKU],InventoryList[],4,FALSE),"")</f>
        <v>Row 1, slot 2</v>
      </c>
    </row>
    <row r="9" spans="2:9" ht="30" customHeight="1" x14ac:dyDescent="0.3">
      <c r="B9" s="13" t="s">
        <v>40</v>
      </c>
      <c r="C9" s="13" t="s">
        <v>33</v>
      </c>
      <c r="D9" s="14">
        <v>3</v>
      </c>
      <c r="E9" s="14">
        <f>IFERROR(VLOOKUP(InventoryPickList[SKU],InventoryList[],6,FALSE),"")</f>
        <v>10</v>
      </c>
      <c r="F9" s="13" t="str">
        <f>IFERROR(VLOOKUP(InventoryPickList[SKU],InventoryList[],2,FALSE),"")</f>
        <v>Item 3</v>
      </c>
      <c r="G9" s="13" t="str">
        <f>IFERROR(VLOOKUP(InventoryPickList[SKU],InventoryList[],5,FALSE),"")</f>
        <v>Each</v>
      </c>
      <c r="H9" s="13" t="str">
        <f>IFERROR(VLOOKUP(InventoryPickList[SKU],InventoryList[],3,FALSE),"")</f>
        <v>T5789</v>
      </c>
      <c r="I9" s="13" t="str">
        <f>IFERROR(VLOOKUP(InventoryPickList[SKU],InventoryList[],4,FALSE),"")</f>
        <v>Row 1, slot 1</v>
      </c>
    </row>
  </sheetData>
  <conditionalFormatting sqref="E5:E9">
    <cfRule type="expression" dxfId="0" priority="7">
      <formula>D5&gt;E5</formula>
    </cfRule>
  </conditionalFormatting>
  <dataValidations xWindow="40" yWindow="335" count="14">
    <dataValidation allowBlank="1" showInputMessage="1" showErrorMessage="1" prompt="Use Inventory pick list to track quantity of each SKU needed to fulfill orders. Clear pick list table in cell B2. Navigate to Inventory List worksheet in cell C2" sqref="A1"/>
    <dataValidation allowBlank="1" showInputMessage="1" showErrorMessage="1" prompt="Enter order number in this column" sqref="B4"/>
    <dataValidation allowBlank="1" showInputMessage="1" showErrorMessage="1" prompt="Select the SKU from the dropdown list. Press ALT+DOWN ARROW to open the dropdown list then press ENTER to choose one of the items" sqref="C4"/>
    <dataValidation allowBlank="1" showInputMessage="1" showErrorMessage="1" prompt="Enter pick quantity of items in this column" sqref="D4"/>
    <dataValidation allowBlank="1" showInputMessage="1" showErrorMessage="1" prompt="Quantity available for each item is automatically calculated in this column" sqref="E4"/>
    <dataValidation allowBlank="1" showInputMessage="1" showErrorMessage="1" prompt="Item description is automatically updated in this column" sqref="F4"/>
    <dataValidation allowBlank="1" showInputMessage="1" showErrorMessage="1" prompt="Unit is automatically updated in this column" sqref="G4"/>
    <dataValidation allowBlank="1" showInputMessage="1" showErrorMessage="1" prompt="Bin number is automatically updated in this column" sqref="H4"/>
    <dataValidation allowBlank="1" showInputMessage="1" showErrorMessage="1" prompt="Location is automatically updated in this column" sqref="I4"/>
    <dataValidation type="custom" allowBlank="1" showInputMessage="1" showErrorMessage="1" errorTitle="Whoops!" error="The quantity entered exceeds the Quantity Available. " sqref="D6:D9">
      <formula1>D6&lt;=E6</formula1>
    </dataValidation>
    <dataValidation type="custom" allowBlank="1" showInputMessage="1" showErrorMessage="1" error="The quantity entered exceeds the Quantity Available. Enter a PICK QTY less than the QTY AVAILABLE" sqref="D5">
      <formula1>D5&lt;=E5</formula1>
    </dataValidation>
    <dataValidation allowBlank="1" showInputMessage="1" showErrorMessage="1" prompt="To clear the pick list table in this worksheet, activate the object in B2 or press ALT+F8 and type &quot;ClearPickList&quot; with no spaces, then select RUN" sqref="B2"/>
    <dataValidation allowBlank="1" showInputMessage="1" showErrorMessage="1" prompt="Navigation link to Inventory List worksheet" sqref="C2"/>
    <dataValidation type="list" errorStyle="warning" allowBlank="1" showErrorMessage="1" error="Entry isn't from List. Select CANCEL, then press ALT+DOWN ARROW to open drop-down list and ENTER to make selection" sqref="C5:C9">
      <formula1>SKULookup</formula1>
    </dataValidation>
  </dataValidations>
  <hyperlinks>
    <hyperlink ref="C2" location="'Inventory List'!A1" tooltip="Select to view Inventory List" display="INVENTORY LIST"/>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inLookup">
    <tabColor theme="4" tint="-0.499984740745262"/>
    <pageSetUpPr autoPageBreaks="0"/>
  </sheetPr>
  <dimension ref="B1:G11"/>
  <sheetViews>
    <sheetView showGridLines="0" zoomScaleNormal="100" workbookViewId="0"/>
  </sheetViews>
  <sheetFormatPr defaultRowHeight="30" customHeight="1" x14ac:dyDescent="0.3"/>
  <cols>
    <col min="1" max="1" width="1.88671875" customWidth="1"/>
    <col min="2" max="2" width="20.77734375" customWidth="1"/>
    <col min="3" max="3" width="19.44140625" customWidth="1"/>
    <col min="4" max="4" width="18.44140625" customWidth="1"/>
    <col min="5" max="7" width="11.88671875" customWidth="1"/>
  </cols>
  <sheetData>
    <row r="1" spans="2:7" ht="54" customHeight="1" thickBot="1" x14ac:dyDescent="0.5">
      <c r="B1" s="3" t="s">
        <v>59</v>
      </c>
      <c r="C1" s="1"/>
      <c r="D1" s="1"/>
      <c r="E1" s="1"/>
      <c r="F1" s="1"/>
      <c r="G1" s="1"/>
    </row>
    <row r="2" spans="2:7" ht="24.95" customHeight="1" x14ac:dyDescent="0.3">
      <c r="B2" s="19" t="s">
        <v>64</v>
      </c>
    </row>
    <row r="3" spans="2:7" ht="30" customHeight="1" x14ac:dyDescent="0.3">
      <c r="B3" s="10"/>
      <c r="C3" s="10"/>
      <c r="D3" s="10"/>
      <c r="E3" s="10"/>
      <c r="F3" s="10"/>
      <c r="G3" s="10"/>
    </row>
    <row r="4" spans="2:7" ht="17.100000000000001" customHeight="1" x14ac:dyDescent="0.3">
      <c r="B4" s="7" t="s">
        <v>45</v>
      </c>
      <c r="C4" s="7" t="s">
        <v>44</v>
      </c>
      <c r="D4" s="7" t="s">
        <v>46</v>
      </c>
      <c r="E4" s="8" t="s">
        <v>56</v>
      </c>
      <c r="F4" s="8" t="s">
        <v>57</v>
      </c>
      <c r="G4" s="8" t="s">
        <v>58</v>
      </c>
    </row>
    <row r="5" spans="2:7" ht="30" customHeight="1" x14ac:dyDescent="0.3">
      <c r="B5" s="13" t="s">
        <v>1</v>
      </c>
      <c r="C5" s="13" t="s">
        <v>17</v>
      </c>
      <c r="D5" s="16" t="s">
        <v>20</v>
      </c>
      <c r="E5" s="14">
        <v>50</v>
      </c>
      <c r="F5" s="14">
        <v>10</v>
      </c>
      <c r="G5" s="14">
        <v>10</v>
      </c>
    </row>
    <row r="6" spans="2:7" ht="30" customHeight="1" x14ac:dyDescent="0.3">
      <c r="B6" s="13" t="s">
        <v>2</v>
      </c>
      <c r="C6" s="13" t="s">
        <v>18</v>
      </c>
      <c r="D6" s="13" t="s">
        <v>24</v>
      </c>
      <c r="E6" s="14">
        <v>25</v>
      </c>
      <c r="F6" s="14">
        <v>5</v>
      </c>
      <c r="G6" s="14">
        <v>5</v>
      </c>
    </row>
    <row r="7" spans="2:7" ht="30" customHeight="1" x14ac:dyDescent="0.3">
      <c r="B7" s="13" t="s">
        <v>3</v>
      </c>
      <c r="C7" s="13" t="s">
        <v>17</v>
      </c>
      <c r="D7" s="13" t="s">
        <v>21</v>
      </c>
      <c r="E7" s="14">
        <v>50</v>
      </c>
      <c r="F7" s="14">
        <v>10</v>
      </c>
      <c r="G7" s="14">
        <v>10</v>
      </c>
    </row>
    <row r="8" spans="2:7" ht="30" customHeight="1" x14ac:dyDescent="0.3">
      <c r="B8" s="13" t="s">
        <v>5</v>
      </c>
      <c r="C8" s="13" t="s">
        <v>19</v>
      </c>
      <c r="D8" s="13" t="s">
        <v>23</v>
      </c>
      <c r="E8" s="14">
        <v>30</v>
      </c>
      <c r="F8" s="14">
        <v>7</v>
      </c>
      <c r="G8" s="14">
        <v>10</v>
      </c>
    </row>
    <row r="9" spans="2:7" ht="30" customHeight="1" x14ac:dyDescent="0.3">
      <c r="B9" s="13" t="s">
        <v>6</v>
      </c>
      <c r="C9" s="13" t="s">
        <v>18</v>
      </c>
      <c r="D9" s="13" t="s">
        <v>25</v>
      </c>
      <c r="E9" s="14">
        <v>25</v>
      </c>
      <c r="F9" s="14">
        <v>5</v>
      </c>
      <c r="G9" s="14">
        <v>5</v>
      </c>
    </row>
    <row r="10" spans="2:7" ht="30" customHeight="1" x14ac:dyDescent="0.3">
      <c r="B10" s="13" t="s">
        <v>2</v>
      </c>
      <c r="C10" s="13" t="s">
        <v>17</v>
      </c>
      <c r="D10" s="13" t="s">
        <v>22</v>
      </c>
      <c r="E10" s="14">
        <v>50</v>
      </c>
      <c r="F10" s="14">
        <v>10</v>
      </c>
      <c r="G10" s="14">
        <v>10</v>
      </c>
    </row>
    <row r="11" spans="2:7" ht="30" customHeight="1" x14ac:dyDescent="0.3">
      <c r="B11" s="13" t="s">
        <v>7</v>
      </c>
      <c r="C11" s="13" t="s">
        <v>17</v>
      </c>
      <c r="D11" s="13" t="s">
        <v>26</v>
      </c>
      <c r="E11" s="14">
        <v>50</v>
      </c>
      <c r="F11" s="14">
        <v>10</v>
      </c>
      <c r="G11" s="14">
        <v>10</v>
      </c>
    </row>
  </sheetData>
  <dataValidations count="8">
    <dataValidation allowBlank="1" showInputMessage="1" showErrorMessage="1" prompt="This worksheet has a table that provides data for the inventory list and inventory pick list worksheets. A navigation link to Inventory List worksheet is in cell B2" sqref="A1"/>
    <dataValidation allowBlank="1" showInputMessage="1" showErrorMessage="1" prompt="Enter the bin number in this column" sqref="B4"/>
    <dataValidation allowBlank="1" showInputMessage="1" showErrorMessage="1" prompt="Enter a description of bin in this column" sqref="C4"/>
    <dataValidation allowBlank="1" showInputMessage="1" showErrorMessage="1" prompt="Enter the location of bin in this column" sqref="D4"/>
    <dataValidation allowBlank="1" showInputMessage="1" showErrorMessage="1" prompt="Enter width of bin in this column" sqref="E4"/>
    <dataValidation allowBlank="1" showInputMessage="1" showErrorMessage="1" prompt="Enter height of bin in this column" sqref="F4"/>
    <dataValidation allowBlank="1" showInputMessage="1" showErrorMessage="1" prompt="Enter length of bin in this column" sqref="G4"/>
    <dataValidation allowBlank="1" showInputMessage="1" showErrorMessage="1" prompt="Navigation link to Inventory List worksheet" sqref="B2"/>
  </dataValidations>
  <hyperlinks>
    <hyperlink ref="B2" location="'Inventory List'!A1" tooltip="Select to view Inventory List" display="INVENTORY LIST"/>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Inventory List</vt:lpstr>
      <vt:lpstr>Inventory Pick List</vt:lpstr>
      <vt:lpstr>Bin Lookup</vt:lpstr>
      <vt:lpstr>BinNumber</vt:lpstr>
      <vt:lpstr>ColumnTitle1</vt:lpstr>
      <vt:lpstr>ColumnTitle2</vt:lpstr>
      <vt:lpstr>ColumnTitle3</vt:lpstr>
      <vt:lpstr>'Bin Lookup'!Print_Titles</vt:lpstr>
      <vt:lpstr>'Inventory List'!Print_Titles</vt:lpstr>
      <vt:lpstr>'Inventory Pick List'!Print_Titles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dcterms:created xsi:type="dcterms:W3CDTF">2017-06-02T00:14:58Z</dcterms:created>
  <dcterms:modified xsi:type="dcterms:W3CDTF">2017-06-02T00:15:03Z</dcterms:modified>
</cp:coreProperties>
</file>